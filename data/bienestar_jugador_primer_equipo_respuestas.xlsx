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1'!$A$1:$N$4828</definedName>
  </definedNames>
  <calcPr/>
</workbook>
</file>

<file path=xl/sharedStrings.xml><?xml version="1.0" encoding="utf-8"?>
<sst xmlns="http://schemas.openxmlformats.org/spreadsheetml/2006/main" count="109493" uniqueCount="439">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</sst>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828" displayName="Form_Responses1" name="Form_Responses1" id="1">
  <autoFilter ref="$A$1:$N$4828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535">IF(A1591:A52535="","",INT(A1591:A52535))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035">IF(
    D1591:D32035="",
    "",
    IFERROR(
      XLOOKUP(
        TRIM(D1591:D32035)&amp;"|"&amp;(B1591:B32035-1),
        $M$2:$M52535,
        $N$2:$N52535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IFERROR(__xludf.DUMMYFUNCTION("""COMPUTED_VALUE"""),"Kevin Álvarez|46150")</f>
        <v>Kevin Álvarez|46150</v>
      </c>
      <c r="N2702" s="6">
        <f>IFERROR(__xludf.DUMMYFUNCTION("""COMPUTED_VALUE"""),4.0)</f>
        <v>4</v>
      </c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IFERROR(__xludf.DUMMYFUNCTION("""COMPUTED_VALUE"""),"Raphael Veiga|46150")</f>
        <v>Raphael Veiga|46150</v>
      </c>
      <c r="N2703" s="6">
        <f>IFERROR(__xludf.DUMMYFUNCTION("""COMPUTED_VALUE"""),3.0)</f>
        <v>3</v>
      </c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IFERROR(__xludf.DUMMYFUNCTION("""COMPUTED_VALUE"""),"Brian Rodríguez|46150")</f>
        <v>Brian Rodríguez|46150</v>
      </c>
      <c r="N2704" s="6">
        <f>IFERROR(__xludf.DUMMYFUNCTION("""COMPUTED_VALUE"""),4.0)</f>
        <v>4</v>
      </c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IFERROR(__xludf.DUMMYFUNCTION("""COMPUTED_VALUE"""),"Thiago Espinosa|46150")</f>
        <v>Thiago Espinosa|46150</v>
      </c>
      <c r="N2705" s="6">
        <f>IFERROR(__xludf.DUMMYFUNCTION("""COMPUTED_VALUE"""),5.0)</f>
        <v>5</v>
      </c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IFERROR(__xludf.DUMMYFUNCTION("""COMPUTED_VALUE"""),"Aaron Mejia|46150")</f>
        <v>Aaron Mejia|46150</v>
      </c>
      <c r="N2706" s="6">
        <f>IFERROR(__xludf.DUMMYFUNCTION("""COMPUTED_VALUE"""),2.0)</f>
        <v>2</v>
      </c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IFERROR(__xludf.DUMMYFUNCTION("""COMPUTED_VALUE"""),"Néstor Araujo|46150")</f>
        <v>Néstor Araujo|46150</v>
      </c>
      <c r="N2707" s="6">
        <f>IFERROR(__xludf.DUMMYFUNCTION("""COMPUTED_VALUE"""),5.0)</f>
        <v>5</v>
      </c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IFERROR(__xludf.DUMMYFUNCTION("""COMPUTED_VALUE"""),"Ramón Juárez|46150")</f>
        <v>Ramón Juárez|46150</v>
      </c>
      <c r="N2708" s="6">
        <f>IFERROR(__xludf.DUMMYFUNCTION("""COMPUTED_VALUE"""),4.0)</f>
        <v>4</v>
      </c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IFERROR(__xludf.DUMMYFUNCTION("""COMPUTED_VALUE"""),"Fernando Tapia|46150")</f>
        <v>Fernando Tapia|46150</v>
      </c>
      <c r="N2709" s="6">
        <f>IFERROR(__xludf.DUMMYFUNCTION("""COMPUTED_VALUE"""),4.0)</f>
        <v>4</v>
      </c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IFERROR(__xludf.DUMMYFUNCTION("""COMPUTED_VALUE"""),"Dagoberto Espinoza|46150")</f>
        <v>Dagoberto Espinoza|46150</v>
      </c>
      <c r="N2710" s="6">
        <f>IFERROR(__xludf.DUMMYFUNCTION("""COMPUTED_VALUE"""),6.0)</f>
        <v>6</v>
      </c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IFERROR(__xludf.DUMMYFUNCTION("""COMPUTED_VALUE"""),"Isaías Violante|46150")</f>
        <v>Isaías Violante|46150</v>
      </c>
      <c r="N2711" s="6">
        <f>IFERROR(__xludf.DUMMYFUNCTION("""COMPUTED_VALUE"""),4.0)</f>
        <v>4</v>
      </c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IFERROR(__xludf.DUMMYFUNCTION("""COMPUTED_VALUE"""),"Miguel Vázquez|46150")</f>
        <v>Miguel Vázquez|46150</v>
      </c>
      <c r="N2712" s="6">
        <f>IFERROR(__xludf.DUMMYFUNCTION("""COMPUTED_VALUE"""),3.0)</f>
        <v>3</v>
      </c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IFERROR(__xludf.DUMMYFUNCTION("""COMPUTED_VALUE"""),"Alejando Zendejas|46150")</f>
        <v>Alejando Zendejas|46150</v>
      </c>
      <c r="N2713" s="6">
        <f>IFERROR(__xludf.DUMMYFUNCTION("""COMPUTED_VALUE"""),3.0)</f>
        <v>3</v>
      </c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IFERROR(__xludf.DUMMYFUNCTION("""COMPUTED_VALUE"""),"Rodrigo Dourado|46150")</f>
        <v>Rodrigo Dourado|46150</v>
      </c>
      <c r="N2714" s="6">
        <f>IFERROR(__xludf.DUMMYFUNCTION("""COMPUTED_VALUE"""),4.0)</f>
        <v>4</v>
      </c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IFERROR(__xludf.DUMMYFUNCTION("""COMPUTED_VALUE"""),"Jonathan Dos Santos|46150")</f>
        <v>Jonathan Dos Santos|46150</v>
      </c>
      <c r="N2715" s="6">
        <f>IFERROR(__xludf.DUMMYFUNCTION("""COMPUTED_VALUE"""),3.0)</f>
        <v>3</v>
      </c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IFERROR(__xludf.DUMMYFUNCTION("""COMPUTED_VALUE"""),"Santiago Naveda|46150")</f>
        <v>Santiago Naveda|46150</v>
      </c>
      <c r="N2716" s="6">
        <f>IFERROR(__xludf.DUMMYFUNCTION("""COMPUTED_VALUE"""),4.0)</f>
        <v>4</v>
      </c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IFERROR(__xludf.DUMMYFUNCTION("""COMPUTED_VALUE"""),"Henry Martín|46150")</f>
        <v>Henry Martín|46150</v>
      </c>
      <c r="N2717" s="6">
        <f>IFERROR(__xludf.DUMMYFUNCTION("""COMPUTED_VALUE"""),4.0)</f>
        <v>4</v>
      </c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IFERROR(__xludf.DUMMYFUNCTION("""COMPUTED_VALUE"""),"Thiago Espinosa|46150")</f>
        <v>Thiago Espinosa|46150</v>
      </c>
      <c r="N2718" s="6">
        <f>IFERROR(__xludf.DUMMYFUNCTION("""COMPUTED_VALUE"""),2.0)</f>
        <v>2</v>
      </c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IFERROR(__xludf.DUMMYFUNCTION("""COMPUTED_VALUE"""),"Rodolfo Cota|46150")</f>
        <v>Rodolfo Cota|46150</v>
      </c>
      <c r="N2719" s="6">
        <f>IFERROR(__xludf.DUMMYFUNCTION("""COMPUTED_VALUE"""),2.0)</f>
        <v>2</v>
      </c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IFERROR(__xludf.DUMMYFUNCTION("""COMPUTED_VALUE"""),"Kevin Álvarez|46182")</f>
        <v>Kevin Álvarez|46182</v>
      </c>
      <c r="N2720" s="6">
        <f>IFERROR(__xludf.DUMMYFUNCTION("""COMPUTED_VALUE"""),7.0)</f>
        <v>7</v>
      </c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IFERROR(__xludf.DUMMYFUNCTION("""COMPUTED_VALUE"""),"Miguel Vázquez|46182")</f>
        <v>Miguel Vázquez|46182</v>
      </c>
      <c r="N2721" s="6">
        <f>IFERROR(__xludf.DUMMYFUNCTION("""COMPUTED_VALUE"""),8.0)</f>
        <v>8</v>
      </c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IFERROR(__xludf.DUMMYFUNCTION("""COMPUTED_VALUE"""),"Henry Martín|46182")</f>
        <v>Henry Martín|46182</v>
      </c>
      <c r="N2722" s="6">
        <f>IFERROR(__xludf.DUMMYFUNCTION("""COMPUTED_VALUE"""),8.0)</f>
        <v>8</v>
      </c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IFERROR(__xludf.DUMMYFUNCTION("""COMPUTED_VALUE"""),"Fernando Tapia|46182")</f>
        <v>Fernando Tapia|46182</v>
      </c>
      <c r="N2723" s="6">
        <f>IFERROR(__xludf.DUMMYFUNCTION("""COMPUTED_VALUE"""),8.0)</f>
        <v>8</v>
      </c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IFERROR(__xludf.DUMMYFUNCTION("""COMPUTED_VALUE"""),"Dagoberto Espinoza|46182")</f>
        <v>Dagoberto Espinoza|46182</v>
      </c>
      <c r="N2724" s="6">
        <f>IFERROR(__xludf.DUMMYFUNCTION("""COMPUTED_VALUE"""),8.0)</f>
        <v>8</v>
      </c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IFERROR(__xludf.DUMMYFUNCTION("""COMPUTED_VALUE"""),"Alexis Gutiérrez|46182")</f>
        <v>Alexis Gutiérrez|46182</v>
      </c>
      <c r="N2725" s="6">
        <f>IFERROR(__xludf.DUMMYFUNCTION("""COMPUTED_VALUE"""),6.0)</f>
        <v>6</v>
      </c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IFERROR(__xludf.DUMMYFUNCTION("""COMPUTED_VALUE"""),"Rodolfo Cota|46182")</f>
        <v>Rodolfo Cota|46182</v>
      </c>
      <c r="N2726" s="6">
        <f>IFERROR(__xludf.DUMMYFUNCTION("""COMPUTED_VALUE"""),4.0)</f>
        <v>4</v>
      </c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IFERROR(__xludf.DUMMYFUNCTION("""COMPUTED_VALUE"""),"Thiago Espinosa|46182")</f>
        <v>Thiago Espinosa|46182</v>
      </c>
      <c r="N2727" s="6">
        <f>IFERROR(__xludf.DUMMYFUNCTION("""COMPUTED_VALUE"""),8.0)</f>
        <v>8</v>
      </c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IFERROR(__xludf.DUMMYFUNCTION("""COMPUTED_VALUE"""),"Paolo Bedolla|46182")</f>
        <v>Paolo Bedolla|46182</v>
      </c>
      <c r="N2728" s="6">
        <f>IFERROR(__xludf.DUMMYFUNCTION("""COMPUTED_VALUE"""),6.0)</f>
        <v>6</v>
      </c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IFERROR(__xludf.DUMMYFUNCTION("""COMPUTED_VALUE"""),"Santiago Naveda|46182")</f>
        <v>Santiago Naveda|46182</v>
      </c>
      <c r="N2729" s="6">
        <f>IFERROR(__xludf.DUMMYFUNCTION("""COMPUTED_VALUE"""),6.0)</f>
        <v>6</v>
      </c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IFERROR(__xludf.DUMMYFUNCTION("""COMPUTED_VALUE"""),"Patricio Salas|46182")</f>
        <v>Patricio Salas|46182</v>
      </c>
      <c r="N2730" s="6">
        <f>IFERROR(__xludf.DUMMYFUNCTION("""COMPUTED_VALUE"""),8.0)</f>
        <v>8</v>
      </c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IFERROR(__xludf.DUMMYFUNCTION("""COMPUTED_VALUE"""),"Raphael Veiga|46182")</f>
        <v>Raphael Veiga|46182</v>
      </c>
      <c r="N2731" s="6">
        <f>IFERROR(__xludf.DUMMYFUNCTION("""COMPUTED_VALUE"""),8.0)</f>
        <v>8</v>
      </c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IFERROR(__xludf.DUMMYFUNCTION("""COMPUTED_VALUE"""),"José Raúl Zúñiga|46182")</f>
        <v>José Raúl Zúñiga|46182</v>
      </c>
      <c r="N2732" s="6">
        <f>IFERROR(__xludf.DUMMYFUNCTION("""COMPUTED_VALUE"""),4.0)</f>
        <v>4</v>
      </c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IFERROR(__xludf.DUMMYFUNCTION("""COMPUTED_VALUE"""),"Rodrigo Dourado|46182")</f>
        <v>Rodrigo Dourado|46182</v>
      </c>
      <c r="N2733" s="6">
        <f>IFERROR(__xludf.DUMMYFUNCTION("""COMPUTED_VALUE"""),5.0)</f>
        <v>5</v>
      </c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IFERROR(__xludf.DUMMYFUNCTION("""COMPUTED_VALUE"""),"Alan Cervantes|46182")</f>
        <v>Alan Cervantes|46182</v>
      </c>
      <c r="N2734" s="6">
        <f>IFERROR(__xludf.DUMMYFUNCTION("""COMPUTED_VALUE"""),8.0)</f>
        <v>8</v>
      </c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IFERROR(__xludf.DUMMYFUNCTION("""COMPUTED_VALUE"""),"Vinícius Lima|46182")</f>
        <v>Vinícius Lima|46182</v>
      </c>
      <c r="N2735" s="6">
        <f>IFERROR(__xludf.DUMMYFUNCTION("""COMPUTED_VALUE"""),8.0)</f>
        <v>8</v>
      </c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IFERROR(__xludf.DUMMYFUNCTION("""COMPUTED_VALUE"""),"Ramón Juárez|46182")</f>
        <v>Ramón Juárez|46182</v>
      </c>
      <c r="N2736" s="6">
        <f>IFERROR(__xludf.DUMMYFUNCTION("""COMPUTED_VALUE"""),7.0)</f>
        <v>7</v>
      </c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IFERROR(__xludf.DUMMYFUNCTION("""COMPUTED_VALUE"""),"Cristian Borja|46182")</f>
        <v>Cristian Borja|46182</v>
      </c>
      <c r="N2737" s="6">
        <f>IFERROR(__xludf.DUMMYFUNCTION("""COMPUTED_VALUE"""),4.0)</f>
        <v>4</v>
      </c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IFERROR(__xludf.DUMMYFUNCTION("""COMPUTED_VALUE"""),"Erick Sánchez|46182")</f>
        <v>Erick Sánchez|46182</v>
      </c>
      <c r="N2738" s="6">
        <f>IFERROR(__xludf.DUMMYFUNCTION("""COMPUTED_VALUE"""),8.0)</f>
        <v>8</v>
      </c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hidden="1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hidden="1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hidden="1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hidden="1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hidden="1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hidden="1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hidden="1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hidden="1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hidden="1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hidden="1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hidden="1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hidden="1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hidden="1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hidden="1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hidden="1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hidden="1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hidden="1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hidden="1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hidden="1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hidden="1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hidden="1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hidden="1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hidden="1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hidden="1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hidden="1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hidden="1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hidden="1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hidden="1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hidden="1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hidden="1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hidden="1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hidden="1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hidden="1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hidden="1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hidden="1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hidden="1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hidden="1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hidden="1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hidden="1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hidden="1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hidden="1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hidden="1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hidden="1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hidden="1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hidden="1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hidden="1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 ht="22.5" customHeight="1">
      <c r="A4806" s="7">
        <v>46151.3690755787</v>
      </c>
      <c r="B4806" s="12">
        <v>46151.0</v>
      </c>
      <c r="C4806" s="8" t="s">
        <v>52</v>
      </c>
      <c r="D4806" s="8" t="s">
        <v>394</v>
      </c>
      <c r="E4806" s="8" t="s">
        <v>16</v>
      </c>
      <c r="F4806" s="8" t="s">
        <v>16</v>
      </c>
      <c r="G4806" s="8">
        <v>7.0</v>
      </c>
      <c r="H4806" s="8" t="s">
        <v>21</v>
      </c>
      <c r="I4806" s="8" t="s">
        <v>19</v>
      </c>
      <c r="J4806" s="12" t="s">
        <v>397</v>
      </c>
      <c r="M4806" s="12" t="str">
        <f>IFERROR(__xludf.DUMMYFUNCTION("""COMPUTED_VALUE"""),"")</f>
        <v/>
      </c>
      <c r="N4806" s="12"/>
    </row>
    <row r="4807" ht="22.5" customHeight="1">
      <c r="A4807" s="7">
        <v>46151.36950998842</v>
      </c>
      <c r="B4807" s="12">
        <v>46151.0</v>
      </c>
      <c r="C4807" s="8" t="s">
        <v>52</v>
      </c>
      <c r="D4807" s="8" t="s">
        <v>411</v>
      </c>
      <c r="E4807" s="8" t="s">
        <v>16</v>
      </c>
      <c r="F4807" s="8" t="s">
        <v>16</v>
      </c>
      <c r="G4807" s="8">
        <v>8.0</v>
      </c>
      <c r="H4807" s="8" t="s">
        <v>21</v>
      </c>
      <c r="I4807" s="8" t="s">
        <v>19</v>
      </c>
      <c r="J4807" s="12">
        <v>2.0</v>
      </c>
      <c r="M4807" s="12" t="str">
        <f>IFERROR(__xludf.DUMMYFUNCTION("""COMPUTED_VALUE"""),"")</f>
        <v/>
      </c>
      <c r="N4807" s="12"/>
    </row>
    <row r="4808" ht="22.5" customHeight="1">
      <c r="A4808" s="7">
        <v>46151.369936250005</v>
      </c>
      <c r="B4808" s="12">
        <v>46151.0</v>
      </c>
      <c r="C4808" s="8" t="s">
        <v>52</v>
      </c>
      <c r="D4808" s="8" t="s">
        <v>248</v>
      </c>
      <c r="E4808" s="8" t="s">
        <v>16</v>
      </c>
      <c r="F4808" s="8" t="s">
        <v>16</v>
      </c>
      <c r="G4808" s="8">
        <v>7.0</v>
      </c>
      <c r="H4808" s="8" t="s">
        <v>24</v>
      </c>
      <c r="I4808" s="8" t="s">
        <v>206</v>
      </c>
      <c r="J4808" s="12">
        <v>6.0</v>
      </c>
      <c r="M4808" s="12" t="str">
        <f>IFERROR(__xludf.DUMMYFUNCTION("""COMPUTED_VALUE"""),"")</f>
        <v/>
      </c>
      <c r="N4808" s="12"/>
    </row>
    <row r="4809" ht="22.5" customHeight="1">
      <c r="A4809" s="7">
        <v>46151.37061337963</v>
      </c>
      <c r="B4809" s="12">
        <v>46151.0</v>
      </c>
      <c r="C4809" s="8" t="s">
        <v>52</v>
      </c>
      <c r="D4809" s="8" t="s">
        <v>176</v>
      </c>
      <c r="E4809" s="8" t="s">
        <v>16</v>
      </c>
      <c r="F4809" s="8" t="s">
        <v>16</v>
      </c>
      <c r="G4809" s="8">
        <v>8.0</v>
      </c>
      <c r="H4809" s="8" t="s">
        <v>16</v>
      </c>
      <c r="I4809" s="8" t="s">
        <v>289</v>
      </c>
      <c r="J4809" s="12" t="s">
        <v>397</v>
      </c>
      <c r="M4809" s="12" t="str">
        <f>IFERROR(__xludf.DUMMYFUNCTION("""COMPUTED_VALUE"""),"")</f>
        <v/>
      </c>
      <c r="N4809" s="12"/>
    </row>
    <row r="4810" ht="22.5" customHeight="1">
      <c r="A4810" s="7">
        <v>46151.37083298611</v>
      </c>
      <c r="B4810" s="12">
        <v>46151.0</v>
      </c>
      <c r="C4810" s="8" t="s">
        <v>52</v>
      </c>
      <c r="D4810" s="8" t="s">
        <v>412</v>
      </c>
      <c r="E4810" s="8" t="s">
        <v>16</v>
      </c>
      <c r="F4810" s="8" t="s">
        <v>16</v>
      </c>
      <c r="G4810" s="8">
        <v>8.0</v>
      </c>
      <c r="H4810" s="8" t="s">
        <v>21</v>
      </c>
      <c r="I4810" s="8" t="s">
        <v>19</v>
      </c>
      <c r="J4810" s="12">
        <v>4.0</v>
      </c>
      <c r="M4810" s="12" t="str">
        <f>IFERROR(__xludf.DUMMYFUNCTION("""COMPUTED_VALUE"""),"")</f>
        <v/>
      </c>
      <c r="N4810" s="12"/>
    </row>
    <row r="4811" ht="22.5" customHeight="1">
      <c r="A4811" s="7">
        <v>46151.37110175926</v>
      </c>
      <c r="B4811" s="12">
        <v>46151.0</v>
      </c>
      <c r="C4811" s="8" t="s">
        <v>52</v>
      </c>
      <c r="D4811" s="8" t="s">
        <v>279</v>
      </c>
      <c r="E4811" s="8" t="s">
        <v>16</v>
      </c>
      <c r="F4811" s="8" t="s">
        <v>16</v>
      </c>
      <c r="G4811" s="8">
        <v>8.0</v>
      </c>
      <c r="H4811" s="8" t="s">
        <v>21</v>
      </c>
      <c r="I4811" s="8" t="s">
        <v>19</v>
      </c>
      <c r="J4811" s="12">
        <v>3.0</v>
      </c>
      <c r="M4811" s="12" t="str">
        <f>IFERROR(__xludf.DUMMYFUNCTION("""COMPUTED_VALUE"""),"")</f>
        <v/>
      </c>
      <c r="N4811" s="12"/>
    </row>
    <row r="4812" ht="22.5" customHeight="1">
      <c r="A4812" s="7">
        <v>46151.37148271991</v>
      </c>
      <c r="B4812" s="12">
        <v>46151.0</v>
      </c>
      <c r="C4812" s="8" t="s">
        <v>52</v>
      </c>
      <c r="D4812" s="8" t="s">
        <v>334</v>
      </c>
      <c r="E4812" s="8" t="s">
        <v>16</v>
      </c>
      <c r="F4812" s="8" t="s">
        <v>16</v>
      </c>
      <c r="G4812" s="8">
        <v>7.0</v>
      </c>
      <c r="H4812" s="8" t="s">
        <v>24</v>
      </c>
      <c r="I4812" s="8" t="s">
        <v>433</v>
      </c>
      <c r="J4812" s="12">
        <v>4.0</v>
      </c>
      <c r="M4812" s="12" t="str">
        <f>IFERROR(__xludf.DUMMYFUNCTION("""COMPUTED_VALUE"""),"")</f>
        <v/>
      </c>
      <c r="N4812" s="12"/>
    </row>
    <row r="4813" ht="22.5" customHeight="1">
      <c r="A4813" s="7">
        <v>46151.372026805555</v>
      </c>
      <c r="B4813" s="12">
        <v>46151.0</v>
      </c>
      <c r="C4813" s="8" t="s">
        <v>52</v>
      </c>
      <c r="D4813" s="8" t="s">
        <v>173</v>
      </c>
      <c r="E4813" s="8" t="s">
        <v>16</v>
      </c>
      <c r="F4813" s="8" t="s">
        <v>16</v>
      </c>
      <c r="G4813" s="8">
        <v>8.0</v>
      </c>
      <c r="H4813" s="8" t="s">
        <v>21</v>
      </c>
      <c r="I4813" s="8" t="s">
        <v>19</v>
      </c>
      <c r="J4813" s="12">
        <v>3.0</v>
      </c>
      <c r="M4813" s="12" t="str">
        <f>IFERROR(__xludf.DUMMYFUNCTION("""COMPUTED_VALUE"""),"")</f>
        <v/>
      </c>
      <c r="N4813" s="12"/>
    </row>
    <row r="4814" ht="22.5" customHeight="1">
      <c r="A4814" s="7">
        <v>46151.37249792824</v>
      </c>
      <c r="B4814" s="12">
        <v>46151.0</v>
      </c>
      <c r="C4814" s="8" t="s">
        <v>52</v>
      </c>
      <c r="D4814" s="8" t="s">
        <v>257</v>
      </c>
      <c r="E4814" s="8" t="s">
        <v>16</v>
      </c>
      <c r="F4814" s="8" t="s">
        <v>16</v>
      </c>
      <c r="G4814" s="8">
        <v>8.0</v>
      </c>
      <c r="H4814" s="8" t="s">
        <v>21</v>
      </c>
      <c r="I4814" s="8" t="s">
        <v>19</v>
      </c>
      <c r="J4814" s="12">
        <v>5.0</v>
      </c>
      <c r="M4814" s="12" t="str">
        <f>IFERROR(__xludf.DUMMYFUNCTION("""COMPUTED_VALUE"""),"")</f>
        <v/>
      </c>
      <c r="N4814" s="12"/>
    </row>
    <row r="4815" ht="22.5" customHeight="1">
      <c r="A4815" s="7">
        <v>46151.37287421296</v>
      </c>
      <c r="B4815" s="12">
        <v>46151.0</v>
      </c>
      <c r="C4815" s="8" t="s">
        <v>52</v>
      </c>
      <c r="D4815" s="8" t="s">
        <v>368</v>
      </c>
      <c r="E4815" s="8" t="s">
        <v>16</v>
      </c>
      <c r="F4815" s="8" t="s">
        <v>16</v>
      </c>
      <c r="G4815" s="8">
        <v>8.0</v>
      </c>
      <c r="H4815" s="8" t="s">
        <v>24</v>
      </c>
      <c r="I4815" s="8" t="s">
        <v>217</v>
      </c>
      <c r="J4815" s="12" t="s">
        <v>397</v>
      </c>
      <c r="M4815" s="12" t="str">
        <f>IFERROR(__xludf.DUMMYFUNCTION("""COMPUTED_VALUE"""),"")</f>
        <v/>
      </c>
      <c r="N4815" s="12"/>
    </row>
    <row r="4816" ht="22.5" customHeight="1">
      <c r="A4816" s="7">
        <v>46151.37313743056</v>
      </c>
      <c r="B4816" s="12">
        <v>46151.0</v>
      </c>
      <c r="C4816" s="8" t="s">
        <v>52</v>
      </c>
      <c r="D4816" s="8" t="s">
        <v>422</v>
      </c>
      <c r="E4816" s="8" t="s">
        <v>16</v>
      </c>
      <c r="F4816" s="8" t="s">
        <v>16</v>
      </c>
      <c r="G4816" s="8">
        <v>6.0</v>
      </c>
      <c r="H4816" s="8" t="s">
        <v>21</v>
      </c>
      <c r="I4816" s="8" t="s">
        <v>19</v>
      </c>
      <c r="J4816" s="12">
        <v>5.0</v>
      </c>
      <c r="M4816" s="12" t="str">
        <f>IFERROR(__xludf.DUMMYFUNCTION("""COMPUTED_VALUE"""),"")</f>
        <v/>
      </c>
      <c r="N4816" s="12"/>
    </row>
    <row r="4817" ht="22.5" customHeight="1">
      <c r="A4817" s="7">
        <v>46151.373339004625</v>
      </c>
      <c r="B4817" s="12">
        <v>46151.0</v>
      </c>
      <c r="C4817" s="8" t="s">
        <v>52</v>
      </c>
      <c r="D4817" s="8" t="s">
        <v>104</v>
      </c>
      <c r="E4817" s="8" t="s">
        <v>16</v>
      </c>
      <c r="F4817" s="8" t="s">
        <v>16</v>
      </c>
      <c r="G4817" s="8">
        <v>8.0</v>
      </c>
      <c r="H4817" s="8" t="s">
        <v>21</v>
      </c>
      <c r="I4817" s="8" t="s">
        <v>19</v>
      </c>
      <c r="J4817" s="12">
        <v>2.0</v>
      </c>
      <c r="M4817" s="12" t="str">
        <f>IFERROR(__xludf.DUMMYFUNCTION("""COMPUTED_VALUE"""),"")</f>
        <v/>
      </c>
      <c r="N4817" s="12"/>
    </row>
    <row r="4818" ht="22.5" customHeight="1">
      <c r="A4818" s="7">
        <v>46151.373712430555</v>
      </c>
      <c r="B4818" s="12">
        <v>46151.0</v>
      </c>
      <c r="C4818" s="8" t="s">
        <v>52</v>
      </c>
      <c r="D4818" s="8" t="s">
        <v>407</v>
      </c>
      <c r="E4818" s="8" t="s">
        <v>16</v>
      </c>
      <c r="F4818" s="8" t="s">
        <v>16</v>
      </c>
      <c r="G4818" s="8">
        <v>8.0</v>
      </c>
      <c r="H4818" s="8" t="s">
        <v>24</v>
      </c>
      <c r="I4818" s="8" t="s">
        <v>49</v>
      </c>
      <c r="J4818" s="12">
        <v>4.0</v>
      </c>
      <c r="M4818" s="12" t="str">
        <f>IFERROR(__xludf.DUMMYFUNCTION("""COMPUTED_VALUE"""),"")</f>
        <v/>
      </c>
      <c r="N4818" s="12"/>
    </row>
    <row r="4819" ht="22.5" customHeight="1">
      <c r="A4819" s="7">
        <v>46151.37412015046</v>
      </c>
      <c r="B4819" s="12">
        <v>46151.0</v>
      </c>
      <c r="C4819" s="8" t="s">
        <v>52</v>
      </c>
      <c r="D4819" s="8" t="s">
        <v>248</v>
      </c>
      <c r="E4819" s="8" t="s">
        <v>16</v>
      </c>
      <c r="F4819" s="8" t="s">
        <v>16</v>
      </c>
      <c r="G4819" s="8">
        <v>8.0</v>
      </c>
      <c r="H4819" s="8" t="s">
        <v>24</v>
      </c>
      <c r="I4819" s="8" t="s">
        <v>206</v>
      </c>
      <c r="J4819" s="12">
        <v>6.0</v>
      </c>
      <c r="M4819" s="12" t="str">
        <f>IFERROR(__xludf.DUMMYFUNCTION("""COMPUTED_VALUE"""),"")</f>
        <v/>
      </c>
      <c r="N4819" s="12"/>
    </row>
    <row r="4820" ht="22.5" customHeight="1">
      <c r="A4820" s="7">
        <v>46151.37465591435</v>
      </c>
      <c r="B4820" s="12">
        <v>46151.0</v>
      </c>
      <c r="C4820" s="8" t="s">
        <v>52</v>
      </c>
      <c r="D4820" s="8" t="s">
        <v>170</v>
      </c>
      <c r="E4820" s="8" t="s">
        <v>16</v>
      </c>
      <c r="F4820" s="8" t="s">
        <v>16</v>
      </c>
      <c r="G4820" s="8">
        <v>7.0</v>
      </c>
      <c r="H4820" s="8" t="s">
        <v>24</v>
      </c>
      <c r="I4820" s="8" t="s">
        <v>398</v>
      </c>
      <c r="J4820" s="12" t="s">
        <v>397</v>
      </c>
      <c r="M4820" s="12" t="str">
        <f>IFERROR(__xludf.DUMMYFUNCTION("""COMPUTED_VALUE"""),"")</f>
        <v/>
      </c>
      <c r="N4820" s="12"/>
    </row>
    <row r="4821" ht="22.5" customHeight="1">
      <c r="A4821" s="7">
        <v>46151.37495943287</v>
      </c>
      <c r="B4821" s="12">
        <v>46151.0</v>
      </c>
      <c r="C4821" s="8" t="s">
        <v>52</v>
      </c>
      <c r="D4821" s="8" t="s">
        <v>349</v>
      </c>
      <c r="E4821" s="8" t="s">
        <v>16</v>
      </c>
      <c r="F4821" s="8" t="s">
        <v>16</v>
      </c>
      <c r="G4821" s="8">
        <v>8.0</v>
      </c>
      <c r="H4821" s="8" t="s">
        <v>21</v>
      </c>
      <c r="I4821" s="8" t="s">
        <v>19</v>
      </c>
      <c r="J4821" s="12">
        <v>4.0</v>
      </c>
      <c r="M4821" s="12" t="str">
        <f>IFERROR(__xludf.DUMMYFUNCTION("""COMPUTED_VALUE"""),"")</f>
        <v/>
      </c>
      <c r="N4821" s="12"/>
    </row>
    <row r="4822" ht="22.5" customHeight="1">
      <c r="A4822" s="7">
        <v>46151.38251924768</v>
      </c>
      <c r="B4822" s="12">
        <v>46151.0</v>
      </c>
      <c r="C4822" s="8" t="s">
        <v>52</v>
      </c>
      <c r="D4822" s="8" t="s">
        <v>356</v>
      </c>
      <c r="E4822" s="8" t="s">
        <v>16</v>
      </c>
      <c r="F4822" s="8" t="s">
        <v>16</v>
      </c>
      <c r="G4822" s="8">
        <v>8.0</v>
      </c>
      <c r="H4822" s="8" t="s">
        <v>24</v>
      </c>
      <c r="I4822" s="8" t="s">
        <v>380</v>
      </c>
      <c r="J4822" s="12">
        <v>4.0</v>
      </c>
      <c r="M4822" s="12" t="str">
        <f>IFERROR(__xludf.DUMMYFUNCTION("""COMPUTED_VALUE"""),"")</f>
        <v/>
      </c>
      <c r="N4822" s="12"/>
    </row>
    <row r="4823" ht="22.5" customHeight="1">
      <c r="A4823" s="7">
        <v>46151.3947552662</v>
      </c>
      <c r="B4823" s="12">
        <v>46151.0</v>
      </c>
      <c r="C4823" s="8" t="s">
        <v>52</v>
      </c>
      <c r="D4823" s="8" t="s">
        <v>246</v>
      </c>
      <c r="E4823" s="8" t="s">
        <v>16</v>
      </c>
      <c r="F4823" s="8" t="s">
        <v>16</v>
      </c>
      <c r="G4823" s="8">
        <v>8.0</v>
      </c>
      <c r="H4823" s="8" t="s">
        <v>24</v>
      </c>
      <c r="I4823" s="8" t="s">
        <v>206</v>
      </c>
      <c r="J4823" s="12" t="s">
        <v>397</v>
      </c>
      <c r="M4823" s="12" t="str">
        <f>IFERROR(__xludf.DUMMYFUNCTION("""COMPUTED_VALUE"""),"")</f>
        <v/>
      </c>
      <c r="N4823" s="12"/>
    </row>
    <row r="4824" ht="22.5" customHeight="1">
      <c r="A4824" s="7">
        <v>46151.42738247685</v>
      </c>
      <c r="B4824" s="12">
        <v>46151.0</v>
      </c>
      <c r="C4824" s="8" t="s">
        <v>52</v>
      </c>
      <c r="D4824" s="8" t="s">
        <v>395</v>
      </c>
      <c r="E4824" s="8" t="s">
        <v>16</v>
      </c>
      <c r="F4824" s="8" t="s">
        <v>16</v>
      </c>
      <c r="G4824" s="8">
        <v>8.0</v>
      </c>
      <c r="H4824" s="8" t="s">
        <v>21</v>
      </c>
      <c r="I4824" s="8" t="s">
        <v>19</v>
      </c>
      <c r="J4824" s="12">
        <v>4.0</v>
      </c>
      <c r="M4824" s="12" t="str">
        <f>IFERROR(__xludf.DUMMYFUNCTION("""COMPUTED_VALUE"""),"")</f>
        <v/>
      </c>
      <c r="N4824" s="12"/>
    </row>
    <row r="4825" ht="22.5" customHeight="1">
      <c r="A4825" s="7">
        <v>46151.427915775464</v>
      </c>
      <c r="B4825" s="12">
        <v>46151.0</v>
      </c>
      <c r="C4825" s="8" t="s">
        <v>52</v>
      </c>
      <c r="D4825" s="8" t="s">
        <v>256</v>
      </c>
      <c r="E4825" s="8" t="s">
        <v>16</v>
      </c>
      <c r="F4825" s="8" t="s">
        <v>16</v>
      </c>
      <c r="G4825" s="8">
        <v>8.0</v>
      </c>
      <c r="H4825" s="8" t="s">
        <v>21</v>
      </c>
      <c r="I4825" s="8" t="s">
        <v>19</v>
      </c>
      <c r="J4825" s="12" t="s">
        <v>397</v>
      </c>
      <c r="M4825" s="12" t="str">
        <f>IFERROR(__xludf.DUMMYFUNCTION("""COMPUTED_VALUE"""),"")</f>
        <v/>
      </c>
      <c r="N4825" s="12"/>
    </row>
    <row r="4826" ht="22.5" customHeight="1">
      <c r="A4826" s="7">
        <v>46151.42825521991</v>
      </c>
      <c r="B4826" s="12">
        <v>46151.0</v>
      </c>
      <c r="C4826" s="8" t="s">
        <v>52</v>
      </c>
      <c r="D4826" s="8" t="s">
        <v>413</v>
      </c>
      <c r="E4826" s="8" t="s">
        <v>16</v>
      </c>
      <c r="F4826" s="8" t="s">
        <v>16</v>
      </c>
      <c r="G4826" s="8">
        <v>7.0</v>
      </c>
      <c r="H4826" s="8" t="s">
        <v>21</v>
      </c>
      <c r="I4826" s="8" t="s">
        <v>19</v>
      </c>
      <c r="J4826" s="12">
        <v>3.0</v>
      </c>
      <c r="M4826" s="12" t="str">
        <f>IFERROR(__xludf.DUMMYFUNCTION("""COMPUTED_VALUE"""),"")</f>
        <v/>
      </c>
      <c r="N4826" s="12"/>
    </row>
    <row r="4827" ht="22.5" customHeight="1">
      <c r="A4827" s="7">
        <v>46151.42847966435</v>
      </c>
      <c r="B4827" s="12">
        <v>46151.0</v>
      </c>
      <c r="C4827" s="8" t="s">
        <v>52</v>
      </c>
      <c r="D4827" s="8" t="s">
        <v>420</v>
      </c>
      <c r="E4827" s="8" t="s">
        <v>16</v>
      </c>
      <c r="F4827" s="8" t="s">
        <v>16</v>
      </c>
      <c r="G4827" s="8">
        <v>7.0</v>
      </c>
      <c r="H4827" s="8" t="s">
        <v>21</v>
      </c>
      <c r="I4827" s="8" t="s">
        <v>19</v>
      </c>
      <c r="J4827" s="12" t="s">
        <v>397</v>
      </c>
      <c r="M4827" s="12" t="str">
        <f>IFERROR(__xludf.DUMMYFUNCTION("""COMPUTED_VALUE"""),"")</f>
        <v/>
      </c>
      <c r="N4827" s="12"/>
    </row>
    <row r="4828" ht="22.5" customHeight="1">
      <c r="A4828" s="7">
        <v>46151.445933587966</v>
      </c>
      <c r="B4828" s="12">
        <v>46151.0</v>
      </c>
      <c r="C4828" s="8" t="s">
        <v>52</v>
      </c>
      <c r="D4828" s="8" t="s">
        <v>258</v>
      </c>
      <c r="E4828" s="8" t="s">
        <v>29</v>
      </c>
      <c r="F4828" s="8" t="s">
        <v>16</v>
      </c>
      <c r="G4828" s="8">
        <v>8.0</v>
      </c>
      <c r="H4828" s="8" t="s">
        <v>21</v>
      </c>
      <c r="I4828" s="8" t="s">
        <v>19</v>
      </c>
      <c r="J4828" s="12">
        <v>4.0</v>
      </c>
      <c r="M4828" s="12" t="str">
        <f>IFERROR(__xludf.DUMMYFUNCTION("""COMPUTED_VALUE"""),"")</f>
        <v/>
      </c>
      <c r="N4828" s="12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  <c r="M12882" s="14" t="str">
        <f>IFERROR(__xludf.DUMMYFUNCTION("""COMPUTED_VALUE"""),"")</f>
        <v/>
      </c>
      <c r="N12882" s="14"/>
    </row>
    <row r="12883">
      <c r="B12883" s="14" t="s">
        <v>438</v>
      </c>
      <c r="J12883" s="15" t="s">
        <v>438</v>
      </c>
      <c r="M12883" s="14" t="str">
        <f>IFERROR(__xludf.DUMMYFUNCTION("""COMPUTED_VALUE"""),"")</f>
        <v/>
      </c>
      <c r="N12883" s="14"/>
    </row>
    <row r="12884">
      <c r="B12884" s="14" t="s">
        <v>438</v>
      </c>
      <c r="J12884" s="15" t="s">
        <v>438</v>
      </c>
      <c r="M12884" s="14" t="str">
        <f>IFERROR(__xludf.DUMMYFUNCTION("""COMPUTED_VALUE"""),"")</f>
        <v/>
      </c>
      <c r="N12884" s="14"/>
    </row>
    <row r="12885">
      <c r="B12885" s="14" t="s">
        <v>438</v>
      </c>
      <c r="J12885" s="15" t="s">
        <v>438</v>
      </c>
      <c r="M12885" s="14" t="str">
        <f>IFERROR(__xludf.DUMMYFUNCTION("""COMPUTED_VALUE"""),"")</f>
        <v/>
      </c>
      <c r="N12885" s="14"/>
    </row>
    <row r="12886">
      <c r="B12886" s="14" t="s">
        <v>438</v>
      </c>
      <c r="J12886" s="15" t="s">
        <v>438</v>
      </c>
      <c r="M12886" s="14" t="str">
        <f>IFERROR(__xludf.DUMMYFUNCTION("""COMPUTED_VALUE"""),"")</f>
        <v/>
      </c>
      <c r="N12886" s="14"/>
    </row>
    <row r="12887">
      <c r="B12887" s="14" t="s">
        <v>438</v>
      </c>
      <c r="J12887" s="15" t="s">
        <v>438</v>
      </c>
      <c r="M12887" s="14" t="str">
        <f>IFERROR(__xludf.DUMMYFUNCTION("""COMPUTED_VALUE"""),"")</f>
        <v/>
      </c>
      <c r="N12887" s="14"/>
    </row>
    <row r="12888">
      <c r="B12888" s="14" t="s">
        <v>438</v>
      </c>
      <c r="J12888" s="15" t="s">
        <v>438</v>
      </c>
      <c r="M12888" s="14" t="str">
        <f>IFERROR(__xludf.DUMMYFUNCTION("""COMPUTED_VALUE"""),"")</f>
        <v/>
      </c>
      <c r="N12888" s="14"/>
    </row>
    <row r="12889">
      <c r="B12889" s="14" t="s">
        <v>438</v>
      </c>
      <c r="J12889" s="15" t="s">
        <v>438</v>
      </c>
      <c r="M12889" s="14" t="str">
        <f>IFERROR(__xludf.DUMMYFUNCTION("""COMPUTED_VALUE"""),"")</f>
        <v/>
      </c>
      <c r="N12889" s="14"/>
    </row>
    <row r="12890">
      <c r="B12890" s="14" t="s">
        <v>438</v>
      </c>
      <c r="J12890" s="15" t="s">
        <v>438</v>
      </c>
      <c r="M12890" s="14" t="str">
        <f>IFERROR(__xludf.DUMMYFUNCTION("""COMPUTED_VALUE"""),"")</f>
        <v/>
      </c>
      <c r="N12890" s="14"/>
    </row>
    <row r="12891">
      <c r="B12891" s="14" t="s">
        <v>438</v>
      </c>
      <c r="J12891" s="15" t="s">
        <v>438</v>
      </c>
      <c r="M12891" s="14" t="str">
        <f>IFERROR(__xludf.DUMMYFUNCTION("""COMPUTED_VALUE"""),"")</f>
        <v/>
      </c>
      <c r="N12891" s="14"/>
    </row>
    <row r="12892">
      <c r="B12892" s="14" t="s">
        <v>438</v>
      </c>
      <c r="J12892" s="15" t="s">
        <v>438</v>
      </c>
      <c r="M12892" s="14" t="str">
        <f>IFERROR(__xludf.DUMMYFUNCTION("""COMPUTED_VALUE"""),"")</f>
        <v/>
      </c>
      <c r="N12892" s="14"/>
    </row>
    <row r="12893">
      <c r="B12893" s="14" t="s">
        <v>438</v>
      </c>
      <c r="J12893" s="15" t="s">
        <v>438</v>
      </c>
      <c r="M12893" s="14" t="str">
        <f>IFERROR(__xludf.DUMMYFUNCTION("""COMPUTED_VALUE"""),"")</f>
        <v/>
      </c>
      <c r="N12893" s="14"/>
    </row>
    <row r="12894">
      <c r="B12894" s="14" t="s">
        <v>438</v>
      </c>
      <c r="J12894" s="15" t="s">
        <v>438</v>
      </c>
      <c r="M12894" s="14" t="str">
        <f>IFERROR(__xludf.DUMMYFUNCTION("""COMPUTED_VALUE"""),"")</f>
        <v/>
      </c>
      <c r="N12894" s="14"/>
    </row>
    <row r="12895">
      <c r="B12895" s="14" t="s">
        <v>438</v>
      </c>
      <c r="J12895" s="15" t="s">
        <v>438</v>
      </c>
      <c r="M12895" s="14" t="str">
        <f>IFERROR(__xludf.DUMMYFUNCTION("""COMPUTED_VALUE"""),"")</f>
        <v/>
      </c>
      <c r="N12895" s="14"/>
    </row>
    <row r="12896">
      <c r="B12896" s="14" t="s">
        <v>438</v>
      </c>
      <c r="J12896" s="15" t="s">
        <v>438</v>
      </c>
      <c r="M12896" s="14" t="str">
        <f>IFERROR(__xludf.DUMMYFUNCTION("""COMPUTED_VALUE"""),"")</f>
        <v/>
      </c>
      <c r="N12896" s="14"/>
    </row>
    <row r="12897">
      <c r="B12897" s="14" t="s">
        <v>438</v>
      </c>
      <c r="J12897" s="15" t="s">
        <v>438</v>
      </c>
      <c r="M12897" s="14" t="str">
        <f>IFERROR(__xludf.DUMMYFUNCTION("""COMPUTED_VALUE"""),"")</f>
        <v/>
      </c>
      <c r="N12897" s="14"/>
    </row>
    <row r="12898">
      <c r="B12898" s="14" t="s">
        <v>438</v>
      </c>
      <c r="J12898" s="15" t="s">
        <v>438</v>
      </c>
      <c r="M12898" s="14" t="str">
        <f>IFERROR(__xludf.DUMMYFUNCTION("""COMPUTED_VALUE"""),"")</f>
        <v/>
      </c>
      <c r="N12898" s="14"/>
    </row>
    <row r="12899">
      <c r="B12899" s="14" t="s">
        <v>438</v>
      </c>
      <c r="J12899" s="15" t="s">
        <v>438</v>
      </c>
      <c r="M12899" s="14" t="str">
        <f>IFERROR(__xludf.DUMMYFUNCTION("""COMPUTED_VALUE"""),"")</f>
        <v/>
      </c>
      <c r="N12899" s="14"/>
    </row>
    <row r="12900">
      <c r="B12900" s="14" t="s">
        <v>438</v>
      </c>
      <c r="J12900" s="15" t="s">
        <v>438</v>
      </c>
      <c r="M12900" s="14" t="str">
        <f>IFERROR(__xludf.DUMMYFUNCTION("""COMPUTED_VALUE"""),"")</f>
        <v/>
      </c>
      <c r="N12900" s="14"/>
    </row>
    <row r="12901">
      <c r="B12901" s="14" t="s">
        <v>438</v>
      </c>
      <c r="J12901" s="15" t="s">
        <v>438</v>
      </c>
      <c r="M12901" s="14" t="str">
        <f>IFERROR(__xludf.DUMMYFUNCTION("""COMPUTED_VALUE"""),"")</f>
        <v/>
      </c>
      <c r="N12901" s="14"/>
    </row>
    <row r="12902">
      <c r="B12902" s="14" t="s">
        <v>438</v>
      </c>
      <c r="J12902" s="15" t="s">
        <v>438</v>
      </c>
      <c r="M12902" s="14" t="str">
        <f>IFERROR(__xludf.DUMMYFUNCTION("""COMPUTED_VALUE"""),"")</f>
        <v/>
      </c>
      <c r="N12902" s="14"/>
    </row>
    <row r="12903">
      <c r="B12903" s="14" t="s">
        <v>438</v>
      </c>
      <c r="J12903" s="15" t="s">
        <v>438</v>
      </c>
      <c r="M12903" s="14" t="str">
        <f>IFERROR(__xludf.DUMMYFUNCTION("""COMPUTED_VALUE"""),"")</f>
        <v/>
      </c>
      <c r="N12903" s="14"/>
    </row>
    <row r="12904">
      <c r="B12904" s="14" t="s">
        <v>438</v>
      </c>
      <c r="J12904" s="15" t="s">
        <v>438</v>
      </c>
      <c r="M12904" s="14" t="str">
        <f>IFERROR(__xludf.DUMMYFUNCTION("""COMPUTED_VALUE"""),"")</f>
        <v/>
      </c>
      <c r="N12904" s="14"/>
    </row>
    <row r="12905">
      <c r="B12905" s="14" t="s">
        <v>438</v>
      </c>
      <c r="J12905" s="15" t="s">
        <v>438</v>
      </c>
      <c r="M12905" s="14" t="str">
        <f>IFERROR(__xludf.DUMMYFUNCTION("""COMPUTED_VALUE"""),"")</f>
        <v/>
      </c>
      <c r="N12905" s="14"/>
    </row>
    <row r="12906">
      <c r="B12906" s="14" t="s">
        <v>438</v>
      </c>
      <c r="J12906" s="15" t="s">
        <v>438</v>
      </c>
      <c r="M12906" s="14" t="str">
        <f>IFERROR(__xludf.DUMMYFUNCTION("""COMPUTED_VALUE"""),"")</f>
        <v/>
      </c>
      <c r="N12906" s="14"/>
    </row>
    <row r="12907">
      <c r="B12907" s="14" t="s">
        <v>438</v>
      </c>
      <c r="J12907" s="15" t="s">
        <v>438</v>
      </c>
      <c r="M12907" s="14" t="str">
        <f>IFERROR(__xludf.DUMMYFUNCTION("""COMPUTED_VALUE"""),"")</f>
        <v/>
      </c>
      <c r="N12907" s="14"/>
    </row>
    <row r="12908">
      <c r="B12908" s="14" t="s">
        <v>438</v>
      </c>
      <c r="J12908" s="15" t="s">
        <v>438</v>
      </c>
      <c r="M12908" s="14" t="str">
        <f>IFERROR(__xludf.DUMMYFUNCTION("""COMPUTED_VALUE"""),"")</f>
        <v/>
      </c>
      <c r="N12908" s="14"/>
    </row>
    <row r="12909">
      <c r="B12909" s="14" t="s">
        <v>438</v>
      </c>
      <c r="J12909" s="15" t="s">
        <v>438</v>
      </c>
      <c r="M12909" s="14" t="str">
        <f>IFERROR(__xludf.DUMMYFUNCTION("""COMPUTED_VALUE"""),"")</f>
        <v/>
      </c>
      <c r="N12909" s="14"/>
    </row>
    <row r="12910">
      <c r="B12910" s="14" t="s">
        <v>438</v>
      </c>
      <c r="J12910" s="15" t="s">
        <v>438</v>
      </c>
      <c r="M12910" s="14" t="str">
        <f>IFERROR(__xludf.DUMMYFUNCTION("""COMPUTED_VALUE"""),"")</f>
        <v/>
      </c>
      <c r="N12910" s="14"/>
    </row>
    <row r="12911">
      <c r="B12911" s="14" t="s">
        <v>438</v>
      </c>
      <c r="J12911" s="15" t="s">
        <v>438</v>
      </c>
      <c r="M12911" s="14" t="str">
        <f>IFERROR(__xludf.DUMMYFUNCTION("""COMPUTED_VALUE"""),"")</f>
        <v/>
      </c>
      <c r="N12911" s="14"/>
    </row>
    <row r="12912">
      <c r="B12912" s="14" t="s">
        <v>438</v>
      </c>
      <c r="J12912" s="15" t="s">
        <v>438</v>
      </c>
      <c r="M12912" s="14" t="str">
        <f>IFERROR(__xludf.DUMMYFUNCTION("""COMPUTED_VALUE"""),"")</f>
        <v/>
      </c>
      <c r="N12912" s="14"/>
    </row>
    <row r="12913">
      <c r="B12913" s="14" t="s">
        <v>438</v>
      </c>
      <c r="J12913" s="15" t="s">
        <v>438</v>
      </c>
      <c r="M12913" s="14" t="str">
        <f>IFERROR(__xludf.DUMMYFUNCTION("""COMPUTED_VALUE"""),"")</f>
        <v/>
      </c>
      <c r="N12913" s="14"/>
    </row>
    <row r="12914">
      <c r="B12914" s="14" t="s">
        <v>438</v>
      </c>
      <c r="J12914" s="15" t="s">
        <v>438</v>
      </c>
      <c r="M12914" s="14" t="str">
        <f>IFERROR(__xludf.DUMMYFUNCTION("""COMPUTED_VALUE"""),"")</f>
        <v/>
      </c>
      <c r="N12914" s="14"/>
    </row>
    <row r="12915">
      <c r="B12915" s="14" t="s">
        <v>438</v>
      </c>
      <c r="J12915" s="15" t="s">
        <v>438</v>
      </c>
      <c r="M12915" s="14" t="str">
        <f>IFERROR(__xludf.DUMMYFUNCTION("""COMPUTED_VALUE"""),"")</f>
        <v/>
      </c>
      <c r="N12915" s="14"/>
    </row>
    <row r="12916">
      <c r="B12916" s="14" t="s">
        <v>438</v>
      </c>
      <c r="J12916" s="15" t="s">
        <v>438</v>
      </c>
      <c r="M12916" s="14" t="str">
        <f>IFERROR(__xludf.DUMMYFUNCTION("""COMPUTED_VALUE"""),"")</f>
        <v/>
      </c>
      <c r="N12916" s="14"/>
    </row>
    <row r="12917">
      <c r="B12917" s="14" t="s">
        <v>438</v>
      </c>
      <c r="J12917" s="15" t="s">
        <v>438</v>
      </c>
      <c r="M12917" s="14" t="str">
        <f>IFERROR(__xludf.DUMMYFUNCTION("""COMPUTED_VALUE"""),"")</f>
        <v/>
      </c>
      <c r="N12917" s="14"/>
    </row>
    <row r="12918">
      <c r="B12918" s="14" t="s">
        <v>438</v>
      </c>
      <c r="J12918" s="15" t="s">
        <v>438</v>
      </c>
      <c r="M12918" s="14" t="str">
        <f>IFERROR(__xludf.DUMMYFUNCTION("""COMPUTED_VALUE"""),"")</f>
        <v/>
      </c>
      <c r="N12918" s="14"/>
    </row>
    <row r="12919">
      <c r="B12919" s="14" t="s">
        <v>438</v>
      </c>
      <c r="J12919" s="15" t="s">
        <v>438</v>
      </c>
      <c r="M12919" s="14" t="str">
        <f>IFERROR(__xludf.DUMMYFUNCTION("""COMPUTED_VALUE"""),"")</f>
        <v/>
      </c>
      <c r="N12919" s="14"/>
    </row>
    <row r="12920">
      <c r="B12920" s="14" t="s">
        <v>438</v>
      </c>
      <c r="J12920" s="15" t="s">
        <v>438</v>
      </c>
      <c r="M12920" s="14" t="str">
        <f>IFERROR(__xludf.DUMMYFUNCTION("""COMPUTED_VALUE"""),"")</f>
        <v/>
      </c>
      <c r="N12920" s="14"/>
    </row>
    <row r="12921">
      <c r="B12921" s="14" t="s">
        <v>438</v>
      </c>
      <c r="J12921" s="15" t="s">
        <v>438</v>
      </c>
      <c r="M12921" s="14" t="str">
        <f>IFERROR(__xludf.DUMMYFUNCTION("""COMPUTED_VALUE"""),"")</f>
        <v/>
      </c>
      <c r="N12921" s="14"/>
    </row>
    <row r="12922">
      <c r="B12922" s="14" t="s">
        <v>438</v>
      </c>
      <c r="J12922" s="15" t="s">
        <v>438</v>
      </c>
      <c r="M12922" s="14" t="str">
        <f>IFERROR(__xludf.DUMMYFUNCTION("""COMPUTED_VALUE"""),"")</f>
        <v/>
      </c>
      <c r="N12922" s="14"/>
    </row>
    <row r="12923">
      <c r="B12923" s="14" t="s">
        <v>438</v>
      </c>
      <c r="J12923" s="15" t="s">
        <v>438</v>
      </c>
      <c r="M12923" s="14" t="str">
        <f>IFERROR(__xludf.DUMMYFUNCTION("""COMPUTED_VALUE"""),"")</f>
        <v/>
      </c>
      <c r="N12923" s="14"/>
    </row>
    <row r="12924">
      <c r="B12924" s="14" t="s">
        <v>438</v>
      </c>
      <c r="J12924" s="15" t="s">
        <v>438</v>
      </c>
      <c r="M12924" s="14" t="str">
        <f>IFERROR(__xludf.DUMMYFUNCTION("""COMPUTED_VALUE"""),"")</f>
        <v/>
      </c>
      <c r="N12924" s="14"/>
    </row>
    <row r="12925">
      <c r="B12925" s="14" t="s">
        <v>438</v>
      </c>
      <c r="J12925" s="15" t="s">
        <v>438</v>
      </c>
      <c r="M12925" s="14" t="str">
        <f>IFERROR(__xludf.DUMMYFUNCTION("""COMPUTED_VALUE"""),"")</f>
        <v/>
      </c>
      <c r="N12925" s="14"/>
    </row>
    <row r="12926">
      <c r="B12926" s="14" t="s">
        <v>438</v>
      </c>
      <c r="J12926" s="15" t="s">
        <v>438</v>
      </c>
      <c r="M12926" s="14" t="str">
        <f>IFERROR(__xludf.DUMMYFUNCTION("""COMPUTED_VALUE"""),"")</f>
        <v/>
      </c>
      <c r="N12926" s="14"/>
    </row>
    <row r="12927">
      <c r="B12927" s="14" t="s">
        <v>438</v>
      </c>
      <c r="J12927" s="15" t="s">
        <v>438</v>
      </c>
      <c r="M12927" s="14" t="str">
        <f>IFERROR(__xludf.DUMMYFUNCTION("""COMPUTED_VALUE"""),"")</f>
        <v/>
      </c>
      <c r="N12927" s="14"/>
    </row>
    <row r="12928">
      <c r="B12928" s="14" t="s">
        <v>438</v>
      </c>
      <c r="J12928" s="15" t="s">
        <v>438</v>
      </c>
      <c r="M12928" s="14" t="str">
        <f>IFERROR(__xludf.DUMMYFUNCTION("""COMPUTED_VALUE"""),"")</f>
        <v/>
      </c>
      <c r="N12928" s="14"/>
    </row>
    <row r="12929">
      <c r="B12929" s="14" t="s">
        <v>438</v>
      </c>
      <c r="J12929" s="15" t="s">
        <v>438</v>
      </c>
      <c r="M12929" s="14" t="str">
        <f>IFERROR(__xludf.DUMMYFUNCTION("""COMPUTED_VALUE"""),"")</f>
        <v/>
      </c>
      <c r="N12929" s="14"/>
    </row>
    <row r="12930">
      <c r="B12930" s="14" t="s">
        <v>438</v>
      </c>
      <c r="J12930" s="15" t="s">
        <v>438</v>
      </c>
      <c r="M12930" s="14" t="str">
        <f>IFERROR(__xludf.DUMMYFUNCTION("""COMPUTED_VALUE"""),"")</f>
        <v/>
      </c>
      <c r="N12930" s="14"/>
    </row>
    <row r="12931">
      <c r="B12931" s="14" t="s">
        <v>438</v>
      </c>
      <c r="J12931" s="15" t="s">
        <v>438</v>
      </c>
      <c r="M12931" s="14" t="str">
        <f>IFERROR(__xludf.DUMMYFUNCTION("""COMPUTED_VALUE"""),"")</f>
        <v/>
      </c>
      <c r="N12931" s="14"/>
    </row>
    <row r="12932">
      <c r="B12932" s="14" t="s">
        <v>438</v>
      </c>
      <c r="J12932" s="15" t="s">
        <v>438</v>
      </c>
      <c r="M12932" s="14" t="str">
        <f>IFERROR(__xludf.DUMMYFUNCTION("""COMPUTED_VALUE"""),"")</f>
        <v/>
      </c>
      <c r="N12932" s="14"/>
    </row>
    <row r="12933">
      <c r="B12933" s="14" t="s">
        <v>438</v>
      </c>
      <c r="J12933" s="15" t="s">
        <v>438</v>
      </c>
      <c r="M12933" s="14" t="str">
        <f>IFERROR(__xludf.DUMMYFUNCTION("""COMPUTED_VALUE"""),"")</f>
        <v/>
      </c>
      <c r="N12933" s="14"/>
    </row>
    <row r="12934">
      <c r="B12934" s="14" t="s">
        <v>438</v>
      </c>
      <c r="J12934" s="15" t="s">
        <v>438</v>
      </c>
      <c r="M12934" s="14" t="str">
        <f>IFERROR(__xludf.DUMMYFUNCTION("""COMPUTED_VALUE"""),"")</f>
        <v/>
      </c>
      <c r="N12934" s="14"/>
    </row>
    <row r="12935">
      <c r="B12935" s="14" t="s">
        <v>438</v>
      </c>
      <c r="J12935" s="15" t="s">
        <v>438</v>
      </c>
      <c r="M12935" s="14" t="str">
        <f>IFERROR(__xludf.DUMMYFUNCTION("""COMPUTED_VALUE"""),"")</f>
        <v/>
      </c>
      <c r="N12935" s="14"/>
    </row>
    <row r="12936">
      <c r="B12936" s="14" t="s">
        <v>438</v>
      </c>
      <c r="J12936" s="15" t="s">
        <v>438</v>
      </c>
      <c r="M12936" s="14" t="str">
        <f>IFERROR(__xludf.DUMMYFUNCTION("""COMPUTED_VALUE"""),"")</f>
        <v/>
      </c>
      <c r="N12936" s="14"/>
    </row>
    <row r="12937">
      <c r="B12937" s="14" t="s">
        <v>438</v>
      </c>
      <c r="J12937" s="15" t="s">
        <v>438</v>
      </c>
      <c r="M12937" s="14" t="str">
        <f>IFERROR(__xludf.DUMMYFUNCTION("""COMPUTED_VALUE"""),"")</f>
        <v/>
      </c>
      <c r="N12937" s="14"/>
    </row>
    <row r="12938">
      <c r="B12938" s="14" t="s">
        <v>438</v>
      </c>
      <c r="J12938" s="15" t="s">
        <v>438</v>
      </c>
      <c r="M12938" s="14" t="str">
        <f>IFERROR(__xludf.DUMMYFUNCTION("""COMPUTED_VALUE"""),"")</f>
        <v/>
      </c>
      <c r="N12938" s="14"/>
    </row>
    <row r="12939">
      <c r="B12939" s="14" t="s">
        <v>438</v>
      </c>
      <c r="J12939" s="15" t="s">
        <v>438</v>
      </c>
      <c r="M12939" s="14" t="str">
        <f>IFERROR(__xludf.DUMMYFUNCTION("""COMPUTED_VALUE"""),"")</f>
        <v/>
      </c>
      <c r="N12939" s="14"/>
    </row>
    <row r="12940">
      <c r="B12940" s="14" t="s">
        <v>438</v>
      </c>
      <c r="J12940" s="15" t="s">
        <v>438</v>
      </c>
      <c r="M12940" s="14" t="str">
        <f>IFERROR(__xludf.DUMMYFUNCTION("""COMPUTED_VALUE"""),"")</f>
        <v/>
      </c>
      <c r="N12940" s="14"/>
    </row>
    <row r="12941">
      <c r="B12941" s="14" t="s">
        <v>438</v>
      </c>
      <c r="J12941" s="15" t="s">
        <v>438</v>
      </c>
      <c r="M12941" s="14" t="str">
        <f>IFERROR(__xludf.DUMMYFUNCTION("""COMPUTED_VALUE"""),"")</f>
        <v/>
      </c>
      <c r="N12941" s="14"/>
    </row>
    <row r="12942">
      <c r="B12942" s="14" t="s">
        <v>438</v>
      </c>
      <c r="J12942" s="15" t="s">
        <v>438</v>
      </c>
      <c r="M12942" s="14" t="str">
        <f>IFERROR(__xludf.DUMMYFUNCTION("""COMPUTED_VALUE"""),"")</f>
        <v/>
      </c>
      <c r="N12942" s="14"/>
    </row>
    <row r="12943">
      <c r="B12943" s="14" t="s">
        <v>438</v>
      </c>
      <c r="J12943" s="15" t="s">
        <v>438</v>
      </c>
      <c r="M12943" s="14" t="str">
        <f>IFERROR(__xludf.DUMMYFUNCTION("""COMPUTED_VALUE"""),"")</f>
        <v/>
      </c>
      <c r="N12943" s="14"/>
    </row>
    <row r="12944">
      <c r="B12944" s="14" t="s">
        <v>438</v>
      </c>
      <c r="J12944" s="15" t="s">
        <v>438</v>
      </c>
      <c r="M12944" s="14" t="str">
        <f>IFERROR(__xludf.DUMMYFUNCTION("""COMPUTED_VALUE"""),"")</f>
        <v/>
      </c>
      <c r="N12944" s="14"/>
    </row>
    <row r="12945">
      <c r="B12945" s="14" t="s">
        <v>438</v>
      </c>
      <c r="J12945" s="15" t="s">
        <v>438</v>
      </c>
      <c r="M12945" s="14" t="str">
        <f>IFERROR(__xludf.DUMMYFUNCTION("""COMPUTED_VALUE"""),"")</f>
        <v/>
      </c>
      <c r="N12945" s="14"/>
    </row>
    <row r="12946">
      <c r="B12946" s="14" t="s">
        <v>438</v>
      </c>
      <c r="J12946" s="15" t="s">
        <v>438</v>
      </c>
      <c r="M12946" s="14" t="str">
        <f>IFERROR(__xludf.DUMMYFUNCTION("""COMPUTED_VALUE"""),"")</f>
        <v/>
      </c>
      <c r="N12946" s="14"/>
    </row>
    <row r="12947">
      <c r="B12947" s="14" t="s">
        <v>438</v>
      </c>
      <c r="J12947" s="15" t="s">
        <v>438</v>
      </c>
      <c r="M12947" s="14" t="str">
        <f>IFERROR(__xludf.DUMMYFUNCTION("""COMPUTED_VALUE"""),"")</f>
        <v/>
      </c>
      <c r="N12947" s="14"/>
    </row>
    <row r="12948">
      <c r="B12948" s="14" t="s">
        <v>438</v>
      </c>
      <c r="J12948" s="15" t="s">
        <v>438</v>
      </c>
      <c r="M12948" s="14" t="str">
        <f>IFERROR(__xludf.DUMMYFUNCTION("""COMPUTED_VALUE"""),"")</f>
        <v/>
      </c>
      <c r="N12948" s="14"/>
    </row>
    <row r="12949">
      <c r="B12949" s="14" t="s">
        <v>438</v>
      </c>
      <c r="J12949" s="15" t="s">
        <v>438</v>
      </c>
      <c r="M12949" s="14" t="str">
        <f>IFERROR(__xludf.DUMMYFUNCTION("""COMPUTED_VALUE"""),"")</f>
        <v/>
      </c>
      <c r="N12949" s="14"/>
    </row>
    <row r="12950">
      <c r="B12950" s="14" t="s">
        <v>438</v>
      </c>
      <c r="J12950" s="15" t="s">
        <v>438</v>
      </c>
      <c r="M12950" s="14" t="str">
        <f>IFERROR(__xludf.DUMMYFUNCTION("""COMPUTED_VALUE"""),"")</f>
        <v/>
      </c>
      <c r="N12950" s="14"/>
    </row>
    <row r="12951">
      <c r="B12951" s="14" t="s">
        <v>438</v>
      </c>
      <c r="J12951" s="15" t="s">
        <v>438</v>
      </c>
      <c r="M12951" s="14" t="str">
        <f>IFERROR(__xludf.DUMMYFUNCTION("""COMPUTED_VALUE"""),"")</f>
        <v/>
      </c>
      <c r="N12951" s="14"/>
    </row>
    <row r="12952">
      <c r="B12952" s="14" t="s">
        <v>438</v>
      </c>
      <c r="J12952" s="15" t="s">
        <v>438</v>
      </c>
      <c r="M12952" s="14" t="str">
        <f>IFERROR(__xludf.DUMMYFUNCTION("""COMPUTED_VALUE"""),"")</f>
        <v/>
      </c>
      <c r="N12952" s="14"/>
    </row>
    <row r="12953">
      <c r="B12953" s="14" t="s">
        <v>438</v>
      </c>
      <c r="J12953" s="15" t="s">
        <v>438</v>
      </c>
      <c r="M12953" s="14" t="str">
        <f>IFERROR(__xludf.DUMMYFUNCTION("""COMPUTED_VALUE"""),"")</f>
        <v/>
      </c>
      <c r="N12953" s="14"/>
    </row>
    <row r="12954">
      <c r="B12954" s="14" t="s">
        <v>438</v>
      </c>
      <c r="J12954" s="15" t="s">
        <v>438</v>
      </c>
      <c r="M12954" s="14" t="str">
        <f>IFERROR(__xludf.DUMMYFUNCTION("""COMPUTED_VALUE"""),"")</f>
        <v/>
      </c>
      <c r="N12954" s="14"/>
    </row>
    <row r="12955">
      <c r="B12955" s="14" t="s">
        <v>438</v>
      </c>
      <c r="J12955" s="15" t="s">
        <v>438</v>
      </c>
      <c r="M12955" s="14" t="str">
        <f>IFERROR(__xludf.DUMMYFUNCTION("""COMPUTED_VALUE"""),"")</f>
        <v/>
      </c>
      <c r="N12955" s="14"/>
    </row>
    <row r="12956">
      <c r="B12956" s="14" t="s">
        <v>438</v>
      </c>
      <c r="J12956" s="15" t="s">
        <v>438</v>
      </c>
      <c r="M12956" s="14" t="str">
        <f>IFERROR(__xludf.DUMMYFUNCTION("""COMPUTED_VALUE"""),"")</f>
        <v/>
      </c>
      <c r="N12956" s="14"/>
    </row>
    <row r="12957">
      <c r="B12957" s="14" t="s">
        <v>438</v>
      </c>
      <c r="J12957" s="15" t="s">
        <v>438</v>
      </c>
      <c r="M12957" s="14" t="str">
        <f>IFERROR(__xludf.DUMMYFUNCTION("""COMPUTED_VALUE"""),"")</f>
        <v/>
      </c>
      <c r="N12957" s="14"/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 t="s">
        <v>438</v>
      </c>
    </row>
    <row r="31966">
      <c r="B31966" s="14" t="s">
        <v>438</v>
      </c>
      <c r="J31966" s="15" t="s">
        <v>438</v>
      </c>
    </row>
    <row r="31967">
      <c r="B31967" s="14" t="s">
        <v>438</v>
      </c>
      <c r="J31967" s="15" t="s">
        <v>438</v>
      </c>
    </row>
    <row r="31968">
      <c r="B31968" s="14" t="s">
        <v>438</v>
      </c>
      <c r="J31968" s="15" t="s">
        <v>438</v>
      </c>
    </row>
    <row r="31969">
      <c r="B31969" s="14" t="s">
        <v>438</v>
      </c>
      <c r="J31969" s="15" t="s">
        <v>438</v>
      </c>
    </row>
    <row r="31970">
      <c r="B31970" s="14" t="s">
        <v>438</v>
      </c>
      <c r="J31970" s="15" t="s">
        <v>438</v>
      </c>
    </row>
    <row r="31971">
      <c r="B31971" s="14" t="s">
        <v>438</v>
      </c>
      <c r="J31971" s="15" t="s">
        <v>438</v>
      </c>
    </row>
    <row r="31972">
      <c r="B31972" s="14" t="s">
        <v>438</v>
      </c>
      <c r="J31972" s="15" t="s">
        <v>438</v>
      </c>
    </row>
    <row r="31973">
      <c r="B31973" s="14" t="s">
        <v>438</v>
      </c>
      <c r="J31973" s="15" t="s">
        <v>438</v>
      </c>
    </row>
    <row r="31974">
      <c r="B31974" s="14" t="s">
        <v>438</v>
      </c>
      <c r="J31974" s="15" t="s">
        <v>438</v>
      </c>
    </row>
    <row r="31975">
      <c r="B31975" s="14" t="s">
        <v>438</v>
      </c>
      <c r="J31975" s="15" t="s">
        <v>438</v>
      </c>
    </row>
    <row r="31976">
      <c r="B31976" s="14" t="s">
        <v>438</v>
      </c>
      <c r="J31976" s="15" t="s">
        <v>438</v>
      </c>
    </row>
    <row r="31977">
      <c r="B31977" s="14" t="s">
        <v>438</v>
      </c>
      <c r="J31977" s="15" t="s">
        <v>438</v>
      </c>
    </row>
    <row r="31978">
      <c r="B31978" s="14" t="s">
        <v>438</v>
      </c>
      <c r="J31978" s="15" t="s">
        <v>438</v>
      </c>
    </row>
    <row r="31979">
      <c r="B31979" s="14" t="s">
        <v>438</v>
      </c>
      <c r="J31979" s="15" t="s">
        <v>438</v>
      </c>
    </row>
    <row r="31980">
      <c r="B31980" s="14" t="s">
        <v>438</v>
      </c>
      <c r="J31980" s="15" t="s">
        <v>438</v>
      </c>
    </row>
    <row r="31981">
      <c r="B31981" s="14" t="s">
        <v>438</v>
      </c>
      <c r="J31981" s="15" t="s">
        <v>438</v>
      </c>
    </row>
    <row r="31982">
      <c r="B31982" s="14" t="s">
        <v>438</v>
      </c>
      <c r="J31982" s="15" t="s">
        <v>438</v>
      </c>
    </row>
    <row r="31983">
      <c r="B31983" s="14" t="s">
        <v>438</v>
      </c>
      <c r="J31983" s="15" t="s">
        <v>438</v>
      </c>
    </row>
    <row r="31984">
      <c r="B31984" s="14" t="s">
        <v>438</v>
      </c>
      <c r="J31984" s="15" t="s">
        <v>438</v>
      </c>
    </row>
    <row r="31985">
      <c r="B31985" s="14" t="s">
        <v>438</v>
      </c>
      <c r="J31985" s="15" t="s">
        <v>438</v>
      </c>
    </row>
    <row r="31986">
      <c r="B31986" s="14" t="s">
        <v>438</v>
      </c>
      <c r="J31986" s="15" t="s">
        <v>438</v>
      </c>
    </row>
    <row r="31987">
      <c r="B31987" s="14" t="s">
        <v>438</v>
      </c>
      <c r="J31987" s="15" t="s">
        <v>438</v>
      </c>
    </row>
    <row r="31988">
      <c r="B31988" s="14" t="s">
        <v>438</v>
      </c>
      <c r="J31988" s="15" t="s">
        <v>438</v>
      </c>
    </row>
    <row r="31989">
      <c r="B31989" s="14" t="s">
        <v>438</v>
      </c>
      <c r="J31989" s="15" t="s">
        <v>438</v>
      </c>
    </row>
    <row r="31990">
      <c r="B31990" s="14" t="s">
        <v>438</v>
      </c>
      <c r="J31990" s="15" t="s">
        <v>438</v>
      </c>
    </row>
    <row r="31991">
      <c r="B31991" s="14" t="s">
        <v>438</v>
      </c>
      <c r="J31991" s="15" t="s">
        <v>438</v>
      </c>
    </row>
    <row r="31992">
      <c r="B31992" s="14" t="s">
        <v>438</v>
      </c>
      <c r="J31992" s="15" t="s">
        <v>438</v>
      </c>
    </row>
    <row r="31993">
      <c r="B31993" s="14" t="s">
        <v>438</v>
      </c>
      <c r="J31993" s="15" t="s">
        <v>438</v>
      </c>
    </row>
    <row r="31994">
      <c r="B31994" s="14" t="s">
        <v>438</v>
      </c>
      <c r="J31994" s="15" t="s">
        <v>438</v>
      </c>
    </row>
    <row r="31995">
      <c r="B31995" s="14" t="s">
        <v>438</v>
      </c>
      <c r="J31995" s="15" t="s">
        <v>438</v>
      </c>
    </row>
    <row r="31996">
      <c r="B31996" s="14" t="s">
        <v>438</v>
      </c>
      <c r="J31996" s="15" t="s">
        <v>438</v>
      </c>
    </row>
    <row r="31997">
      <c r="B31997" s="14" t="s">
        <v>438</v>
      </c>
      <c r="J31997" s="15" t="s">
        <v>438</v>
      </c>
    </row>
    <row r="31998">
      <c r="B31998" s="14" t="s">
        <v>438</v>
      </c>
      <c r="J31998" s="15" t="s">
        <v>438</v>
      </c>
    </row>
    <row r="31999">
      <c r="B31999" s="14" t="s">
        <v>438</v>
      </c>
      <c r="J31999" s="15" t="s">
        <v>438</v>
      </c>
    </row>
    <row r="32000">
      <c r="B32000" s="14" t="s">
        <v>438</v>
      </c>
      <c r="J32000" s="15" t="s">
        <v>438</v>
      </c>
    </row>
    <row r="32001">
      <c r="B32001" s="14" t="s">
        <v>438</v>
      </c>
      <c r="J32001" s="15" t="s">
        <v>438</v>
      </c>
    </row>
    <row r="32002">
      <c r="B32002" s="14" t="s">
        <v>438</v>
      </c>
      <c r="J32002" s="15" t="s">
        <v>438</v>
      </c>
    </row>
    <row r="32003">
      <c r="B32003" s="14" t="s">
        <v>438</v>
      </c>
      <c r="J32003" s="15" t="s">
        <v>438</v>
      </c>
    </row>
    <row r="32004">
      <c r="B32004" s="14" t="s">
        <v>438</v>
      </c>
      <c r="J32004" s="15" t="s">
        <v>438</v>
      </c>
    </row>
    <row r="32005">
      <c r="B32005" s="14" t="s">
        <v>438</v>
      </c>
      <c r="J32005" s="15" t="s">
        <v>438</v>
      </c>
    </row>
    <row r="32006">
      <c r="B32006" s="14" t="s">
        <v>438</v>
      </c>
      <c r="J32006" s="15" t="s">
        <v>438</v>
      </c>
    </row>
    <row r="32007">
      <c r="B32007" s="14" t="s">
        <v>438</v>
      </c>
      <c r="J32007" s="15" t="s">
        <v>438</v>
      </c>
    </row>
    <row r="32008">
      <c r="B32008" s="14" t="s">
        <v>438</v>
      </c>
      <c r="J32008" s="15" t="s">
        <v>438</v>
      </c>
    </row>
    <row r="32009">
      <c r="B32009" s="14" t="s">
        <v>438</v>
      </c>
      <c r="J32009" s="15" t="s">
        <v>438</v>
      </c>
    </row>
    <row r="32010">
      <c r="B32010" s="14" t="s">
        <v>438</v>
      </c>
      <c r="J32010" s="15" t="s">
        <v>438</v>
      </c>
    </row>
    <row r="32011">
      <c r="B32011" s="14" t="s">
        <v>438</v>
      </c>
      <c r="J32011" s="15" t="s">
        <v>438</v>
      </c>
    </row>
    <row r="32012">
      <c r="B32012" s="14" t="s">
        <v>438</v>
      </c>
      <c r="J32012" s="15" t="s">
        <v>438</v>
      </c>
    </row>
    <row r="32013">
      <c r="B32013" s="14" t="s">
        <v>438</v>
      </c>
      <c r="J32013" s="15" t="s">
        <v>438</v>
      </c>
    </row>
    <row r="32014">
      <c r="B32014" s="14" t="s">
        <v>438</v>
      </c>
      <c r="J32014" s="15" t="s">
        <v>438</v>
      </c>
    </row>
    <row r="32015">
      <c r="B32015" s="14" t="s">
        <v>438</v>
      </c>
      <c r="J32015" s="15" t="s">
        <v>438</v>
      </c>
    </row>
    <row r="32016">
      <c r="B32016" s="14" t="s">
        <v>438</v>
      </c>
      <c r="J32016" s="15" t="s">
        <v>438</v>
      </c>
    </row>
    <row r="32017">
      <c r="B32017" s="14" t="s">
        <v>438</v>
      </c>
      <c r="J32017" s="15" t="s">
        <v>438</v>
      </c>
    </row>
    <row r="32018">
      <c r="B32018" s="14" t="s">
        <v>438</v>
      </c>
      <c r="J32018" s="15" t="s">
        <v>438</v>
      </c>
    </row>
    <row r="32019">
      <c r="B32019" s="14" t="s">
        <v>438</v>
      </c>
      <c r="J32019" s="15" t="s">
        <v>438</v>
      </c>
    </row>
    <row r="32020">
      <c r="B32020" s="14" t="s">
        <v>438</v>
      </c>
      <c r="J32020" s="15" t="s">
        <v>438</v>
      </c>
    </row>
    <row r="32021">
      <c r="B32021" s="14" t="s">
        <v>438</v>
      </c>
      <c r="J32021" s="15" t="s">
        <v>438</v>
      </c>
    </row>
    <row r="32022">
      <c r="B32022" s="14" t="s">
        <v>438</v>
      </c>
      <c r="J32022" s="15" t="s">
        <v>438</v>
      </c>
    </row>
    <row r="32023">
      <c r="B32023" s="14" t="s">
        <v>438</v>
      </c>
      <c r="J32023" s="15" t="s">
        <v>438</v>
      </c>
    </row>
    <row r="32024">
      <c r="B32024" s="14" t="s">
        <v>438</v>
      </c>
      <c r="J32024" s="15" t="s">
        <v>438</v>
      </c>
    </row>
    <row r="32025">
      <c r="B32025" s="14" t="s">
        <v>438</v>
      </c>
      <c r="J32025" s="15" t="s">
        <v>438</v>
      </c>
    </row>
    <row r="32026">
      <c r="B32026" s="14" t="s">
        <v>438</v>
      </c>
      <c r="J32026" s="15" t="s">
        <v>438</v>
      </c>
    </row>
    <row r="32027">
      <c r="B32027" s="14" t="s">
        <v>438</v>
      </c>
      <c r="J32027" s="15" t="s">
        <v>438</v>
      </c>
    </row>
    <row r="32028">
      <c r="B32028" s="14" t="s">
        <v>438</v>
      </c>
      <c r="J32028" s="15" t="s">
        <v>438</v>
      </c>
    </row>
    <row r="32029">
      <c r="B32029" s="14" t="s">
        <v>438</v>
      </c>
      <c r="J32029" s="15" t="s">
        <v>438</v>
      </c>
    </row>
    <row r="32030">
      <c r="B32030" s="14" t="s">
        <v>438</v>
      </c>
      <c r="J32030" s="15" t="s">
        <v>438</v>
      </c>
    </row>
    <row r="32031">
      <c r="B32031" s="14" t="s">
        <v>438</v>
      </c>
      <c r="J32031" s="15" t="s">
        <v>438</v>
      </c>
    </row>
    <row r="32032">
      <c r="B32032" s="14" t="s">
        <v>438</v>
      </c>
      <c r="J32032" s="15" t="s">
        <v>438</v>
      </c>
    </row>
    <row r="32033">
      <c r="B32033" s="14" t="s">
        <v>438</v>
      </c>
      <c r="J32033" s="15" t="s">
        <v>438</v>
      </c>
    </row>
    <row r="32034">
      <c r="B32034" s="14" t="s">
        <v>438</v>
      </c>
      <c r="J32034" s="15" t="s">
        <v>438</v>
      </c>
    </row>
    <row r="32035">
      <c r="B32035" s="14" t="s">
        <v>438</v>
      </c>
      <c r="J32035" s="15" t="s">
        <v>438</v>
      </c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  <row r="52465">
      <c r="B52465" s="14" t="s">
        <v>438</v>
      </c>
      <c r="J52465" s="15"/>
    </row>
    <row r="52466">
      <c r="B52466" s="14" t="s">
        <v>438</v>
      </c>
      <c r="J52466" s="15"/>
    </row>
    <row r="52467">
      <c r="B52467" s="14" t="s">
        <v>438</v>
      </c>
      <c r="J52467" s="15"/>
    </row>
    <row r="52468">
      <c r="B52468" s="14" t="s">
        <v>438</v>
      </c>
      <c r="J52468" s="15"/>
    </row>
    <row r="52469">
      <c r="B52469" s="14" t="s">
        <v>438</v>
      </c>
      <c r="J52469" s="15"/>
    </row>
    <row r="52470">
      <c r="B52470" s="14" t="s">
        <v>438</v>
      </c>
      <c r="J52470" s="15"/>
    </row>
    <row r="52471">
      <c r="B52471" s="14" t="s">
        <v>438</v>
      </c>
      <c r="J52471" s="15"/>
    </row>
    <row r="52472">
      <c r="B52472" s="14" t="s">
        <v>438</v>
      </c>
      <c r="J52472" s="15"/>
    </row>
    <row r="52473">
      <c r="B52473" s="14" t="s">
        <v>438</v>
      </c>
      <c r="J52473" s="15"/>
    </row>
    <row r="52474">
      <c r="B52474" s="14" t="s">
        <v>438</v>
      </c>
      <c r="J52474" s="15"/>
    </row>
    <row r="52475">
      <c r="B52475" s="14" t="s">
        <v>438</v>
      </c>
      <c r="J52475" s="15"/>
    </row>
    <row r="52476">
      <c r="B52476" s="14" t="s">
        <v>438</v>
      </c>
      <c r="J52476" s="15"/>
    </row>
    <row r="52477">
      <c r="B52477" s="14" t="s">
        <v>438</v>
      </c>
      <c r="J52477" s="15"/>
    </row>
    <row r="52478">
      <c r="B52478" s="14" t="s">
        <v>438</v>
      </c>
      <c r="J52478" s="15"/>
    </row>
    <row r="52479">
      <c r="B52479" s="14" t="s">
        <v>438</v>
      </c>
      <c r="J52479" s="15"/>
    </row>
    <row r="52480">
      <c r="B52480" s="14" t="s">
        <v>438</v>
      </c>
      <c r="J52480" s="15"/>
    </row>
    <row r="52481">
      <c r="B52481" s="14" t="s">
        <v>438</v>
      </c>
      <c r="J52481" s="15"/>
    </row>
    <row r="52482">
      <c r="B52482" s="14" t="s">
        <v>438</v>
      </c>
      <c r="J52482" s="15"/>
    </row>
    <row r="52483">
      <c r="B52483" s="14" t="s">
        <v>438</v>
      </c>
      <c r="J52483" s="15"/>
    </row>
    <row r="52484">
      <c r="B52484" s="14" t="s">
        <v>438</v>
      </c>
      <c r="J52484" s="15"/>
    </row>
    <row r="52485">
      <c r="B52485" s="14" t="s">
        <v>438</v>
      </c>
      <c r="J52485" s="15"/>
    </row>
    <row r="52486">
      <c r="B52486" s="14" t="s">
        <v>438</v>
      </c>
      <c r="J52486" s="15"/>
    </row>
    <row r="52487">
      <c r="B52487" s="14" t="s">
        <v>438</v>
      </c>
      <c r="J52487" s="15"/>
    </row>
    <row r="52488">
      <c r="B52488" s="14" t="s">
        <v>438</v>
      </c>
      <c r="J52488" s="15"/>
    </row>
    <row r="52489">
      <c r="B52489" s="14" t="s">
        <v>438</v>
      </c>
      <c r="J52489" s="15"/>
    </row>
    <row r="52490">
      <c r="B52490" s="14" t="s">
        <v>438</v>
      </c>
      <c r="J52490" s="15"/>
    </row>
    <row r="52491">
      <c r="B52491" s="14" t="s">
        <v>438</v>
      </c>
      <c r="J52491" s="15"/>
    </row>
    <row r="52492">
      <c r="B52492" s="14" t="s">
        <v>438</v>
      </c>
      <c r="J52492" s="15"/>
    </row>
    <row r="52493">
      <c r="B52493" s="14" t="s">
        <v>438</v>
      </c>
      <c r="J52493" s="15"/>
    </row>
    <row r="52494">
      <c r="B52494" s="14" t="s">
        <v>438</v>
      </c>
      <c r="J52494" s="15"/>
    </row>
    <row r="52495">
      <c r="B52495" s="14" t="s">
        <v>438</v>
      </c>
      <c r="J52495" s="15"/>
    </row>
    <row r="52496">
      <c r="B52496" s="14" t="s">
        <v>438</v>
      </c>
      <c r="J52496" s="15"/>
    </row>
    <row r="52497">
      <c r="B52497" s="14" t="s">
        <v>438</v>
      </c>
      <c r="J52497" s="15"/>
    </row>
    <row r="52498">
      <c r="B52498" s="14" t="s">
        <v>438</v>
      </c>
      <c r="J52498" s="15"/>
    </row>
    <row r="52499">
      <c r="B52499" s="14" t="s">
        <v>438</v>
      </c>
      <c r="J52499" s="15"/>
    </row>
    <row r="52500">
      <c r="B52500" s="14" t="s">
        <v>438</v>
      </c>
      <c r="J52500" s="15"/>
    </row>
    <row r="52501">
      <c r="B52501" s="14" t="s">
        <v>438</v>
      </c>
      <c r="J52501" s="15"/>
    </row>
    <row r="52502">
      <c r="B52502" s="14" t="s">
        <v>438</v>
      </c>
      <c r="J52502" s="15"/>
    </row>
    <row r="52503">
      <c r="B52503" s="14" t="s">
        <v>438</v>
      </c>
      <c r="J52503" s="15"/>
    </row>
    <row r="52504">
      <c r="B52504" s="14" t="s">
        <v>438</v>
      </c>
      <c r="J52504" s="15"/>
    </row>
    <row r="52505">
      <c r="B52505" s="14" t="s">
        <v>438</v>
      </c>
      <c r="J52505" s="15"/>
    </row>
    <row r="52506">
      <c r="B52506" s="14" t="s">
        <v>438</v>
      </c>
      <c r="J52506" s="15"/>
    </row>
    <row r="52507">
      <c r="B52507" s="14" t="s">
        <v>438</v>
      </c>
      <c r="J52507" s="15"/>
    </row>
    <row r="52508">
      <c r="B52508" s="14" t="s">
        <v>438</v>
      </c>
      <c r="J52508" s="15"/>
    </row>
    <row r="52509">
      <c r="B52509" s="14" t="s">
        <v>438</v>
      </c>
      <c r="J52509" s="15"/>
    </row>
    <row r="52510">
      <c r="B52510" s="14" t="s">
        <v>438</v>
      </c>
      <c r="J52510" s="15"/>
    </row>
    <row r="52511">
      <c r="B52511" s="14" t="s">
        <v>438</v>
      </c>
      <c r="J52511" s="15"/>
    </row>
    <row r="52512">
      <c r="B52512" s="14" t="s">
        <v>438</v>
      </c>
      <c r="J52512" s="15"/>
    </row>
    <row r="52513">
      <c r="B52513" s="14" t="s">
        <v>438</v>
      </c>
      <c r="J52513" s="15"/>
    </row>
    <row r="52514">
      <c r="B52514" s="14" t="s">
        <v>438</v>
      </c>
      <c r="J52514" s="15"/>
    </row>
    <row r="52515">
      <c r="B52515" s="14" t="s">
        <v>438</v>
      </c>
      <c r="J52515" s="15"/>
    </row>
    <row r="52516">
      <c r="B52516" s="14" t="s">
        <v>438</v>
      </c>
      <c r="J52516" s="15"/>
    </row>
    <row r="52517">
      <c r="B52517" s="14" t="s">
        <v>438</v>
      </c>
      <c r="J52517" s="15"/>
    </row>
    <row r="52518">
      <c r="B52518" s="14" t="s">
        <v>438</v>
      </c>
      <c r="J52518" s="15"/>
    </row>
    <row r="52519">
      <c r="B52519" s="14" t="s">
        <v>438</v>
      </c>
      <c r="J52519" s="15"/>
    </row>
    <row r="52520">
      <c r="B52520" s="14" t="s">
        <v>438</v>
      </c>
      <c r="J52520" s="15"/>
    </row>
    <row r="52521">
      <c r="B52521" s="14" t="s">
        <v>438</v>
      </c>
      <c r="J52521" s="15"/>
    </row>
    <row r="52522">
      <c r="B52522" s="14" t="s">
        <v>438</v>
      </c>
      <c r="J52522" s="15"/>
    </row>
    <row r="52523">
      <c r="B52523" s="14" t="s">
        <v>438</v>
      </c>
      <c r="J52523" s="15"/>
    </row>
    <row r="52524">
      <c r="B52524" s="14" t="s">
        <v>438</v>
      </c>
      <c r="J52524" s="15"/>
    </row>
    <row r="52525">
      <c r="B52525" s="14" t="s">
        <v>438</v>
      </c>
      <c r="J52525" s="15"/>
    </row>
    <row r="52526">
      <c r="B52526" s="14" t="s">
        <v>438</v>
      </c>
      <c r="J52526" s="15"/>
    </row>
    <row r="52527">
      <c r="B52527" s="14" t="s">
        <v>438</v>
      </c>
      <c r="J52527" s="15"/>
    </row>
    <row r="52528">
      <c r="B52528" s="14" t="s">
        <v>438</v>
      </c>
      <c r="J52528" s="15"/>
    </row>
    <row r="52529">
      <c r="B52529" s="14" t="s">
        <v>438</v>
      </c>
      <c r="J52529" s="15"/>
    </row>
    <row r="52530">
      <c r="B52530" s="14" t="s">
        <v>438</v>
      </c>
      <c r="J52530" s="15"/>
    </row>
    <row r="52531">
      <c r="B52531" s="14" t="s">
        <v>438</v>
      </c>
      <c r="J52531" s="15"/>
    </row>
    <row r="52532">
      <c r="B52532" s="14" t="s">
        <v>438</v>
      </c>
      <c r="J52532" s="15"/>
    </row>
    <row r="52533">
      <c r="B52533" s="14" t="s">
        <v>438</v>
      </c>
      <c r="J52533" s="15"/>
    </row>
    <row r="52534">
      <c r="B52534" s="14" t="s">
        <v>438</v>
      </c>
      <c r="J52534" s="15"/>
    </row>
    <row r="52535">
      <c r="B52535" s="14" t="s">
        <v>438</v>
      </c>
      <c r="J52535" s="15"/>
    </row>
  </sheetData>
  <conditionalFormatting sqref="E1:E52535">
    <cfRule type="containsText" dxfId="5" priority="1" operator="containsText" text="&quot;Muy cansado&quot;">
      <formula>NOT(ISERROR(SEARCH(("""Muy cansado"""),(E1))))</formula>
    </cfRule>
  </conditionalFormatting>
  <conditionalFormatting sqref="H2:H52535">
    <cfRule type="containsText" dxfId="5" priority="2" operator="containsText" text="adolorido">
      <formula>NOT(ISERROR(SEARCH(("adolorido"),(H2))))</formula>
    </cfRule>
  </conditionalFormatting>
  <conditionalFormatting sqref="J1:J52535">
    <cfRule type="containsText" dxfId="6" priority="3" operator="containsText" text="7">
      <formula>NOT(ISERROR(SEARCH(("7"),(J1))))</formula>
    </cfRule>
  </conditionalFormatting>
  <conditionalFormatting sqref="J1:J52535">
    <cfRule type="containsText" dxfId="6" priority="4" operator="containsText" text="8">
      <formula>NOT(ISERROR(SEARCH(("8"),(J1))))</formula>
    </cfRule>
  </conditionalFormatting>
  <conditionalFormatting sqref="J1:J52535">
    <cfRule type="containsText" dxfId="6" priority="5" operator="containsText" text="9">
      <formula>NOT(ISERROR(SEARCH(("9"),(J1))))</formula>
    </cfRule>
  </conditionalFormatting>
  <conditionalFormatting sqref="J1:J52535">
    <cfRule type="containsText" dxfId="7" priority="6" operator="containsText" text="6">
      <formula>NOT(ISERROR(SEARCH(("6"),(J1))))</formula>
    </cfRule>
  </conditionalFormatting>
  <conditionalFormatting sqref="G1:G5253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